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v_Edson\Downloads\"/>
    </mc:Choice>
  </mc:AlternateContent>
  <xr:revisionPtr revIDLastSave="0" documentId="13_ncr:1_{C15E2A2B-6E55-4DA5-AD94-B012667FD2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uxo de Caixa Pesso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Xrlpo5tckBn1usV9BsG/8iO5hIg=="/>
    </ext>
  </extLst>
</workbook>
</file>

<file path=xl/calcChain.xml><?xml version="1.0" encoding="utf-8"?>
<calcChain xmlns="http://schemas.openxmlformats.org/spreadsheetml/2006/main">
  <c r="Q35" i="2" l="1"/>
  <c r="P33" i="2"/>
  <c r="O33" i="2"/>
  <c r="N33" i="2"/>
  <c r="M33" i="2"/>
  <c r="L33" i="2"/>
  <c r="K33" i="2"/>
  <c r="J33" i="2"/>
  <c r="I33" i="2"/>
  <c r="H33" i="2"/>
  <c r="G33" i="2"/>
  <c r="F33" i="2"/>
  <c r="E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P11" i="2"/>
  <c r="O11" i="2"/>
  <c r="N11" i="2"/>
  <c r="M11" i="2"/>
  <c r="L11" i="2"/>
  <c r="K11" i="2"/>
  <c r="J11" i="2"/>
  <c r="I11" i="2"/>
  <c r="H11" i="2"/>
  <c r="G11" i="2"/>
  <c r="F11" i="2"/>
  <c r="E11" i="2"/>
  <c r="Q10" i="2"/>
  <c r="Q9" i="2"/>
  <c r="Q8" i="2"/>
  <c r="Q7" i="2"/>
  <c r="Q11" i="2" l="1"/>
  <c r="E34" i="2"/>
  <c r="E36" i="2" s="1"/>
  <c r="Q33" i="2"/>
  <c r="Q34" i="2" s="1"/>
  <c r="Q36" i="2" s="1"/>
  <c r="Q41" i="2" s="1"/>
  <c r="F7" i="2"/>
  <c r="F34" i="2" s="1"/>
  <c r="F36" i="2" s="1"/>
  <c r="E40" i="2"/>
  <c r="E41" i="2"/>
  <c r="Q40" i="2" l="1"/>
  <c r="G7" i="2"/>
  <c r="G34" i="2" s="1"/>
  <c r="G36" i="2" s="1"/>
  <c r="F41" i="2"/>
  <c r="F40" i="2"/>
  <c r="H7" i="2" l="1"/>
  <c r="H34" i="2" s="1"/>
  <c r="H36" i="2" s="1"/>
  <c r="G41" i="2"/>
  <c r="G40" i="2"/>
  <c r="H40" i="2" l="1"/>
  <c r="H41" i="2"/>
  <c r="I7" i="2"/>
  <c r="I34" i="2" s="1"/>
  <c r="I36" i="2" s="1"/>
  <c r="I40" i="2" l="1"/>
  <c r="I41" i="2"/>
  <c r="J7" i="2"/>
  <c r="J34" i="2" s="1"/>
  <c r="J36" i="2" s="1"/>
  <c r="J40" i="2" l="1"/>
  <c r="J41" i="2"/>
  <c r="K7" i="2"/>
  <c r="K34" i="2" s="1"/>
  <c r="K36" i="2" s="1"/>
  <c r="K40" i="2" l="1"/>
  <c r="K41" i="2"/>
  <c r="L7" i="2"/>
  <c r="L34" i="2" s="1"/>
  <c r="L36" i="2" s="1"/>
  <c r="L40" i="2" l="1"/>
  <c r="L41" i="2"/>
  <c r="M7" i="2"/>
  <c r="M34" i="2" s="1"/>
  <c r="M36" i="2" s="1"/>
  <c r="M40" i="2" l="1"/>
  <c r="M41" i="2"/>
  <c r="N7" i="2"/>
  <c r="N34" i="2" s="1"/>
  <c r="N36" i="2" s="1"/>
  <c r="N40" i="2" l="1"/>
  <c r="N41" i="2"/>
  <c r="O7" i="2"/>
  <c r="O34" i="2" s="1"/>
  <c r="O36" i="2" s="1"/>
  <c r="O41" i="2" l="1"/>
  <c r="P7" i="2"/>
  <c r="P34" i="2" s="1"/>
  <c r="P36" i="2" s="1"/>
  <c r="O40" i="2"/>
  <c r="P41" i="2" l="1"/>
  <c r="P40" i="2"/>
</calcChain>
</file>

<file path=xl/sharedStrings.xml><?xml version="1.0" encoding="utf-8"?>
<sst xmlns="http://schemas.openxmlformats.org/spreadsheetml/2006/main" count="66" uniqueCount="61">
  <si>
    <t>* Preencha somente os espaços em branco</t>
  </si>
  <si>
    <t>PLANILHA DE FLUXO DE CAIXA PESSOAL | MOBILLS</t>
  </si>
  <si>
    <t>Fluxo de Caixa Pessoal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</si>
  <si>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</si>
  <si>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</si>
  <si>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</si>
  <si>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</si>
  <si>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</si>
  <si>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</si>
  <si>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</si>
  <si>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</si>
  <si>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</si>
  <si>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</si>
  <si>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</si>
  <si>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</si>
  <si>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Total </t>
  </si>
  <si>
    <t>A</t>
  </si>
  <si>
    <t>l</t>
  </si>
  <si>
    <t>Dinheiro disponível hoje (*)</t>
  </si>
  <si>
    <t>B</t>
  </si>
  <si>
    <t>Saldo inicial do mês</t>
  </si>
  <si>
    <t>Salário líquido do mês (**)</t>
  </si>
  <si>
    <t>13º Salário</t>
  </si>
  <si>
    <t>Outros rendimentos</t>
  </si>
  <si>
    <t>C</t>
  </si>
  <si>
    <t>Total de Entradas</t>
  </si>
  <si>
    <t>Aluguel</t>
  </si>
  <si>
    <t>Condomínio</t>
  </si>
  <si>
    <t>Energia Elétrica</t>
  </si>
  <si>
    <t>Telefone/Internet/TV a cabo</t>
  </si>
  <si>
    <t>Combustível e transporte</t>
  </si>
  <si>
    <t>Manutenção de Veículos</t>
  </si>
  <si>
    <t>Seguros de automóveis</t>
  </si>
  <si>
    <t>Salários dos empregados domésticos</t>
  </si>
  <si>
    <t>Mesada dos filhos</t>
  </si>
  <si>
    <t>Mensalidade escolar</t>
  </si>
  <si>
    <t xml:space="preserve">Matrícula escolar </t>
  </si>
  <si>
    <t xml:space="preserve">Material didático </t>
  </si>
  <si>
    <t>Previdência privada</t>
  </si>
  <si>
    <t xml:space="preserve">IPTU e IPVA </t>
  </si>
  <si>
    <t>Manutenção da casa</t>
  </si>
  <si>
    <t>Previsão gastos c/presentes de Natal</t>
  </si>
  <si>
    <t xml:space="preserve">Previsão gastos com a Ceia de Natal </t>
  </si>
  <si>
    <t>Previsão de gastos de férias</t>
  </si>
  <si>
    <t>Gastos com refeições fora de casa</t>
  </si>
  <si>
    <t>Gastos com lazer</t>
  </si>
  <si>
    <t xml:space="preserve">Demais gastos </t>
  </si>
  <si>
    <t>D</t>
  </si>
  <si>
    <t>Total de Saídas correntes</t>
  </si>
  <si>
    <t>E = A+B+C-D</t>
  </si>
  <si>
    <t>Resultado parcial do mês</t>
  </si>
  <si>
    <t>F</t>
  </si>
  <si>
    <t xml:space="preserve">Pgto dívidas (financiamento, carnê, cheque-pré etc) </t>
  </si>
  <si>
    <t>G=E-F</t>
  </si>
  <si>
    <t>Saldo Final do mês</t>
  </si>
  <si>
    <t>Você terá que tomar mais empréstimos (***)</t>
  </si>
  <si>
    <t>Parabéns: riqueza acumulada no período</t>
  </si>
  <si>
    <t>(*)</t>
  </si>
  <si>
    <t>Dia do preenchimento da planilha</t>
  </si>
  <si>
    <t>(**) Se no dia de janeiro em que  preencher a planilha você já tiver recebido e pago valores, eles não deverão constar da planilha</t>
  </si>
  <si>
    <t>(***) Para esta linha e a linha logo abaixo funcionarem você precisa preencher todos os 12 meses da planilha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</si>
</sst>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Calibri"/>
      <scheme val="minor"/>
    </font>
    <font>
      <sz val="10"/>
      <name val="Calibri"/>
    </font>
    <font>
      <b/>
      <sz val="10"/>
      <color rgb="FFFF0000"/>
      <name val="Calibri"/>
      <scheme val="minor"/>
    </font>
    <font>
      <sz val="14"/>
      <color rgb="FF333399"/>
      <name val="Noto Sans Symbols"/>
    </font>
    <font>
      <sz val="16"/>
      <color rgb="FF333399"/>
      <name val="Arial Black"/>
    </font>
    <font>
      <sz val="10"/>
      <color rgb="FF333399"/>
      <name val="Arial"/>
    </font>
    <font>
      <sz val="10"/>
      <color theme="1"/>
      <name val="Calibri"/>
      <scheme val="minor"/>
    </font>
    <font>
      <b/>
      <sz val="16"/>
      <color rgb="FFFFFFFF"/>
      <name val="Arial"/>
    </font>
    <font>
      <b/>
      <i/>
      <sz val="10"/>
      <color rgb="FFFF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Noto Sans Symbols"/>
    </font>
    <font>
      <sz val="10"/>
      <color rgb="FF000000"/>
      <name val="Arial"/>
    </font>
    <font>
      <b/>
      <sz val="10"/>
      <color rgb="FFFF0000"/>
      <name val="Arial"/>
    </font>
    <font>
      <b/>
      <sz val="8"/>
      <color theme="1"/>
      <name val="Arial"/>
    </font>
    <font>
      <b/>
      <sz val="10"/>
      <color rgb="FF000000"/>
      <name val="Arial"/>
    </font>
    <font>
      <sz val="9"/>
      <color theme="1"/>
      <name val="Arial"/>
    </font>
    <font>
      <sz val="10"/>
      <color rgb="FF434343"/>
      <name val="Arial"/>
    </font>
    <font>
      <sz val="8"/>
      <color theme="1"/>
      <name val="Arial"/>
    </font>
    <font>
      <i/>
      <sz val="8"/>
      <color theme="1"/>
      <name val="Arial"/>
    </font>
    <font>
      <u/>
      <sz val="10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515DD"/>
        <bgColor rgb="FF6515DD"/>
      </patternFill>
    </fill>
    <fill>
      <patternFill patternType="solid">
        <fgColor theme="0"/>
        <bgColor theme="0"/>
      </patternFill>
    </fill>
    <fill>
      <patternFill patternType="solid">
        <fgColor rgb="FFA3C5EB"/>
        <bgColor rgb="FFA3C5EB"/>
      </patternFill>
    </fill>
    <fill>
      <patternFill patternType="solid">
        <fgColor rgb="FFA4C2F4"/>
        <bgColor rgb="FFA4C2F4"/>
      </patternFill>
    </fill>
    <fill>
      <patternFill patternType="solid">
        <fgColor rgb="FF69E0B8"/>
        <bgColor rgb="FF69E0B8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6" fillId="4" borderId="0" xfId="0" applyFont="1" applyFill="1"/>
    <xf numFmtId="0" fontId="9" fillId="5" borderId="3" xfId="0" applyFont="1" applyFill="1" applyBorder="1"/>
    <xf numFmtId="0" fontId="9" fillId="5" borderId="4" xfId="0" applyFont="1" applyFill="1" applyBorder="1"/>
    <xf numFmtId="0" fontId="9" fillId="5" borderId="5" xfId="0" applyFont="1" applyFill="1" applyBorder="1"/>
    <xf numFmtId="0" fontId="9" fillId="5" borderId="7" xfId="0" applyFont="1" applyFill="1" applyBorder="1"/>
    <xf numFmtId="0" fontId="10" fillId="5" borderId="8" xfId="0" applyFont="1" applyFill="1" applyBorder="1" applyAlignment="1">
      <alignment vertical="center"/>
    </xf>
    <xf numFmtId="0" fontId="9" fillId="5" borderId="8" xfId="0" applyFont="1" applyFill="1" applyBorder="1" applyAlignment="1">
      <alignment vertical="center"/>
    </xf>
    <xf numFmtId="0" fontId="10" fillId="5" borderId="8" xfId="0" applyFont="1" applyFill="1" applyBorder="1" applyAlignment="1">
      <alignment horizontal="center" vertical="center"/>
    </xf>
    <xf numFmtId="0" fontId="9" fillId="5" borderId="9" xfId="0" applyFont="1" applyFill="1" applyBorder="1"/>
    <xf numFmtId="0" fontId="10" fillId="2" borderId="8" xfId="0" applyFont="1" applyFill="1" applyBorder="1" applyAlignment="1">
      <alignment horizontal="right"/>
    </xf>
    <xf numFmtId="0" fontId="11" fillId="5" borderId="7" xfId="0" applyFont="1" applyFill="1" applyBorder="1"/>
    <xf numFmtId="0" fontId="10" fillId="5" borderId="8" xfId="0" applyFont="1" applyFill="1" applyBorder="1"/>
    <xf numFmtId="0" fontId="9" fillId="5" borderId="10" xfId="0" applyFont="1" applyFill="1" applyBorder="1"/>
    <xf numFmtId="3" fontId="9" fillId="5" borderId="0" xfId="0" applyNumberFormat="1" applyFont="1" applyFill="1"/>
    <xf numFmtId="3" fontId="9" fillId="5" borderId="11" xfId="0" applyNumberFormat="1" applyFont="1" applyFill="1" applyBorder="1"/>
    <xf numFmtId="3" fontId="9" fillId="5" borderId="8" xfId="0" applyNumberFormat="1" applyFont="1" applyFill="1" applyBorder="1"/>
    <xf numFmtId="0" fontId="9" fillId="5" borderId="8" xfId="0" applyFont="1" applyFill="1" applyBorder="1"/>
    <xf numFmtId="3" fontId="9" fillId="5" borderId="12" xfId="0" applyNumberFormat="1" applyFont="1" applyFill="1" applyBorder="1"/>
    <xf numFmtId="3" fontId="10" fillId="5" borderId="13" xfId="0" applyNumberFormat="1" applyFont="1" applyFill="1" applyBorder="1"/>
    <xf numFmtId="3" fontId="9" fillId="5" borderId="13" xfId="0" applyNumberFormat="1" applyFont="1" applyFill="1" applyBorder="1"/>
    <xf numFmtId="0" fontId="9" fillId="5" borderId="14" xfId="0" applyFont="1" applyFill="1" applyBorder="1"/>
    <xf numFmtId="0" fontId="9" fillId="5" borderId="8" xfId="0" applyFont="1" applyFill="1" applyBorder="1" applyAlignment="1">
      <alignment horizontal="left"/>
    </xf>
    <xf numFmtId="3" fontId="12" fillId="2" borderId="15" xfId="0" applyNumberFormat="1" applyFont="1" applyFill="1" applyBorder="1"/>
    <xf numFmtId="3" fontId="9" fillId="2" borderId="15" xfId="0" applyNumberFormat="1" applyFont="1" applyFill="1" applyBorder="1"/>
    <xf numFmtId="3" fontId="9" fillId="2" borderId="13" xfId="0" applyNumberFormat="1" applyFont="1" applyFill="1" applyBorder="1"/>
    <xf numFmtId="3" fontId="10" fillId="5" borderId="15" xfId="0" applyNumberFormat="1" applyFont="1" applyFill="1" applyBorder="1"/>
    <xf numFmtId="0" fontId="9" fillId="2" borderId="8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0" fontId="14" fillId="2" borderId="8" xfId="0" applyFont="1" applyFill="1" applyBorder="1" applyAlignment="1">
      <alignment horizontal="right"/>
    </xf>
    <xf numFmtId="3" fontId="12" fillId="5" borderId="15" xfId="0" applyNumberFormat="1" applyFont="1" applyFill="1" applyBorder="1"/>
    <xf numFmtId="3" fontId="9" fillId="5" borderId="15" xfId="0" applyNumberFormat="1" applyFont="1" applyFill="1" applyBorder="1"/>
    <xf numFmtId="3" fontId="15" fillId="5" borderId="15" xfId="0" applyNumberFormat="1" applyFont="1" applyFill="1" applyBorder="1"/>
    <xf numFmtId="0" fontId="16" fillId="5" borderId="8" xfId="0" applyFont="1" applyFill="1" applyBorder="1"/>
    <xf numFmtId="3" fontId="17" fillId="2" borderId="15" xfId="0" applyNumberFormat="1" applyFont="1" applyFill="1" applyBorder="1"/>
    <xf numFmtId="0" fontId="11" fillId="5" borderId="16" xfId="0" applyFont="1" applyFill="1" applyBorder="1"/>
    <xf numFmtId="0" fontId="10" fillId="5" borderId="17" xfId="0" applyFont="1" applyFill="1" applyBorder="1"/>
    <xf numFmtId="0" fontId="9" fillId="6" borderId="17" xfId="0" applyFont="1" applyFill="1" applyBorder="1"/>
    <xf numFmtId="3" fontId="9" fillId="5" borderId="18" xfId="0" applyNumberFormat="1" applyFont="1" applyFill="1" applyBorder="1"/>
    <xf numFmtId="0" fontId="9" fillId="5" borderId="19" xfId="0" applyFont="1" applyFill="1" applyBorder="1"/>
    <xf numFmtId="0" fontId="11" fillId="2" borderId="8" xfId="0" applyFont="1" applyFill="1" applyBorder="1"/>
    <xf numFmtId="0" fontId="10" fillId="2" borderId="8" xfId="0" applyFont="1" applyFill="1" applyBorder="1"/>
    <xf numFmtId="0" fontId="9" fillId="2" borderId="8" xfId="0" applyFont="1" applyFill="1" applyBorder="1"/>
    <xf numFmtId="3" fontId="9" fillId="2" borderId="8" xfId="0" applyNumberFormat="1" applyFont="1" applyFill="1" applyBorder="1"/>
    <xf numFmtId="0" fontId="11" fillId="5" borderId="3" xfId="0" applyFont="1" applyFill="1" applyBorder="1"/>
    <xf numFmtId="0" fontId="10" fillId="5" borderId="4" xfId="0" applyFont="1" applyFill="1" applyBorder="1"/>
    <xf numFmtId="3" fontId="9" fillId="6" borderId="20" xfId="0" applyNumberFormat="1" applyFont="1" applyFill="1" applyBorder="1"/>
    <xf numFmtId="3" fontId="9" fillId="5" borderId="20" xfId="0" applyNumberFormat="1" applyFont="1" applyFill="1" applyBorder="1"/>
    <xf numFmtId="3" fontId="10" fillId="7" borderId="21" xfId="0" applyNumberFormat="1" applyFont="1" applyFill="1" applyBorder="1"/>
    <xf numFmtId="3" fontId="10" fillId="7" borderId="22" xfId="0" applyNumberFormat="1" applyFont="1" applyFill="1" applyBorder="1"/>
    <xf numFmtId="3" fontId="10" fillId="7" borderId="23" xfId="0" applyNumberFormat="1" applyFont="1" applyFill="1" applyBorder="1"/>
    <xf numFmtId="3" fontId="10" fillId="7" borderId="24" xfId="0" applyNumberFormat="1" applyFont="1" applyFill="1" applyBorder="1"/>
    <xf numFmtId="3" fontId="10" fillId="7" borderId="25" xfId="0" applyNumberFormat="1" applyFont="1" applyFill="1" applyBorder="1"/>
    <xf numFmtId="3" fontId="10" fillId="7" borderId="26" xfId="0" applyNumberFormat="1" applyFont="1" applyFill="1" applyBorder="1"/>
    <xf numFmtId="0" fontId="9" fillId="5" borderId="16" xfId="0" applyFont="1" applyFill="1" applyBorder="1"/>
    <xf numFmtId="0" fontId="9" fillId="5" borderId="17" xfId="0" applyFont="1" applyFill="1" applyBorder="1"/>
    <xf numFmtId="0" fontId="9" fillId="5" borderId="18" xfId="0" applyFont="1" applyFill="1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/>
    <xf numFmtId="0" fontId="8" fillId="3" borderId="2" xfId="0" applyFont="1" applyFill="1" applyBorder="1" applyAlignment="1">
      <alignment horizontal="left" vertical="center" wrapText="1"/>
    </xf>
    <xf numFmtId="0" fontId="1" fillId="0" borderId="2" xfId="0" applyFont="1" applyBorder="1"/>
    <xf numFmtId="0" fontId="13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47</xdr:row>
      <xdr:rowOff>142875</xdr:rowOff>
    </xdr:from>
    <xdr:ext cx="12458700" cy="12287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3170400"/>
          <a:ext cx="10692000" cy="1219200"/>
        </a:xfrm>
        <a:prstGeom prst="rect">
          <a:avLst/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 Black"/>
            <a:buNone/>
          </a:pPr>
          <a:r>
            <a:rPr lang="en-US" sz="1000" i="0" u="none" strike="noStrike">
              <a:solidFill>
                <a:srgbClr val="000000"/>
              </a:solidFill>
              <a:latin typeface="Arial Black"/>
              <a:ea typeface="Arial Black"/>
              <a:cs typeface="Arial Black"/>
              <a:sym typeface="Arial Black"/>
            </a:rPr>
            <a:t>Interpretação do resultado do seus desempenho financeiro: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 i="0" u="none" strike="noStrike">
            <a:solidFill>
              <a:srgbClr val="000000"/>
            </a:solidFill>
            <a:latin typeface="Arial Black"/>
            <a:ea typeface="Arial Black"/>
            <a:cs typeface="Arial Black"/>
            <a:sym typeface="Arial Black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 o </a:t>
          </a: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saldo final do mês</a:t>
          </a: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ficou positivo, parabéns, pois você está gastando aquém de suas possibilidades, o que lhe permite formar uma reserva para a eventualidade de uma necessidade extraordinária no futuro.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Contudo, se o </a:t>
          </a: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saldo final do mês</a:t>
          </a: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ficou negativo, cuidado, pois você está gastando mais que a sua possibilidade presente, o que poderá acarretar dificuldades futuras. Adote como princípio gastar normalmente menos do se ganha.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39</xdr:row>
      <xdr:rowOff>0</xdr:rowOff>
    </xdr:from>
    <xdr:ext cx="466725" cy="18954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117400" y="2837025"/>
          <a:ext cx="457200" cy="1885950"/>
        </a:xfrm>
        <a:prstGeom prst="curvedRightArrow">
          <a:avLst>
            <a:gd name="adj1" fmla="val 25000"/>
            <a:gd name="adj2" fmla="val 50000"/>
            <a:gd name="adj3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57150</xdr:colOff>
      <xdr:row>39</xdr:row>
      <xdr:rowOff>0</xdr:rowOff>
    </xdr:from>
    <xdr:ext cx="571500" cy="18954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flipH="1">
          <a:off x="5065013" y="2837025"/>
          <a:ext cx="561975" cy="1885950"/>
        </a:xfrm>
        <a:prstGeom prst="curvedRightArrow">
          <a:avLst>
            <a:gd name="adj1" fmla="val 25000"/>
            <a:gd name="adj2" fmla="val 50000"/>
            <a:gd name="adj3" fmla="val 2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361950</xdr:colOff>
      <xdr:row>0</xdr:row>
      <xdr:rowOff>95250</xdr:rowOff>
    </xdr:from>
    <xdr:ext cx="323850" cy="257175"/>
    <xdr:pic>
      <xdr:nvPicPr>
        <xdr:cNvPr id="2" name="image5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98"/>
  <sheetViews>
    <sheetView showGridLines="0"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I20" sqref="I20"/>
    </sheetView>
  </sheetViews>
  <sheetFormatPr defaultColWidth="14.44140625" defaultRowHeight="15" customHeight="1"/>
  <cols>
    <col min="1" max="1" width="13.109375" customWidth="1"/>
    <col min="2" max="2" width="2.44140625" customWidth="1"/>
    <col min="3" max="3" width="40.109375" customWidth="1"/>
    <col min="4" max="4" width="0.6640625" customWidth="1"/>
    <col min="5" max="16" width="10.88671875" customWidth="1"/>
    <col min="17" max="17" width="12.33203125" customWidth="1"/>
    <col min="18" max="18" width="1.109375" customWidth="1"/>
    <col min="19" max="36" width="8" customWidth="1"/>
  </cols>
  <sheetData>
    <row r="1" spans="1:36" ht="24.75" customHeight="1">
      <c r="A1" s="69" t="s">
        <v>0</v>
      </c>
      <c r="B1" s="1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ht="24.75" customHeight="1">
      <c r="A2" s="70"/>
      <c r="B2" s="1"/>
      <c r="C2" s="2">
        <v>2025</v>
      </c>
      <c r="D2" s="2"/>
      <c r="E2" s="2"/>
      <c r="F2" s="2"/>
      <c r="G2" s="3"/>
      <c r="H2" s="68" t="s">
        <v>1</v>
      </c>
      <c r="I2" s="64"/>
      <c r="J2" s="64"/>
      <c r="K2" s="64"/>
      <c r="L2" s="64"/>
      <c r="M2" s="64"/>
      <c r="N2" s="64"/>
      <c r="O2" s="64"/>
      <c r="P2" s="3"/>
      <c r="Q2" s="3"/>
      <c r="R2" s="4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ht="12.75" customHeight="1">
      <c r="A3" s="70"/>
      <c r="B3" s="65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ht="10.5" customHeight="1">
      <c r="A4" s="70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</row>
    <row r="5" spans="1:36" ht="12.75" customHeight="1">
      <c r="A5" s="71"/>
      <c r="B5" s="9"/>
      <c r="C5" s="10" t="s">
        <v>2</v>
      </c>
      <c r="D5" s="11"/>
      <c r="E5" s="12" t="s">
        <v>3</v>
      </c>
      <c r="F5" s="12" t="s">
        <v>4</v>
      </c>
      <c r="G5" s="12" t="s">
        <v>5</v>
      </c>
      <c r="H5" s="12" t="s">
        <v>6</v>
      </c>
      <c r="I5" s="12" t="s">
        <v>7</v>
      </c>
      <c r="J5" s="12" t="s">
        <v>8</v>
      </c>
      <c r="K5" s="12" t="s">
        <v>9</v>
      </c>
      <c r="L5" s="12" t="s">
        <v>10</v>
      </c>
      <c r="M5" s="12" t="s">
        <v>11</v>
      </c>
      <c r="N5" s="12" t="s">
        <v>12</v>
      </c>
      <c r="O5" s="12" t="s">
        <v>13</v>
      </c>
      <c r="P5" s="12" t="s">
        <v>14</v>
      </c>
      <c r="Q5" s="12" t="s">
        <v>15</v>
      </c>
      <c r="R5" s="13"/>
    </row>
    <row r="6" spans="1:36" ht="12.75" customHeight="1">
      <c r="A6" s="14" t="s">
        <v>16</v>
      </c>
      <c r="B6" s="15" t="s">
        <v>17</v>
      </c>
      <c r="C6" s="16" t="s">
        <v>18</v>
      </c>
      <c r="D6" s="17"/>
      <c r="E6" s="18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3"/>
    </row>
    <row r="7" spans="1:36" ht="12.75" customHeight="1">
      <c r="A7" s="14" t="s">
        <v>19</v>
      </c>
      <c r="B7" s="15" t="s">
        <v>17</v>
      </c>
      <c r="C7" s="16" t="s">
        <v>20</v>
      </c>
      <c r="D7" s="21"/>
      <c r="E7" s="22"/>
      <c r="F7" s="23">
        <f t="shared" ref="F7:P7" si="0">E36</f>
        <v>2500</v>
      </c>
      <c r="G7" s="23">
        <f t="shared" si="0"/>
        <v>5000</v>
      </c>
      <c r="H7" s="23">
        <f t="shared" si="0"/>
        <v>7500</v>
      </c>
      <c r="I7" s="23">
        <f t="shared" si="0"/>
        <v>10000</v>
      </c>
      <c r="J7" s="23">
        <f t="shared" si="0"/>
        <v>12500</v>
      </c>
      <c r="K7" s="23">
        <f t="shared" si="0"/>
        <v>15000</v>
      </c>
      <c r="L7" s="23">
        <f t="shared" si="0"/>
        <v>17500</v>
      </c>
      <c r="M7" s="23">
        <f t="shared" si="0"/>
        <v>20000</v>
      </c>
      <c r="N7" s="23">
        <f t="shared" si="0"/>
        <v>22500</v>
      </c>
      <c r="O7" s="23">
        <f t="shared" si="0"/>
        <v>25000</v>
      </c>
      <c r="P7" s="23">
        <f t="shared" si="0"/>
        <v>29500</v>
      </c>
      <c r="Q7" s="24">
        <f>E6</f>
        <v>0</v>
      </c>
      <c r="R7" s="25"/>
    </row>
    <row r="8" spans="1:36" ht="12.75" customHeight="1">
      <c r="A8" s="14"/>
      <c r="B8" s="9"/>
      <c r="C8" s="26" t="s">
        <v>21</v>
      </c>
      <c r="D8" s="17"/>
      <c r="E8" s="27">
        <v>3500</v>
      </c>
      <c r="F8" s="27">
        <v>3500</v>
      </c>
      <c r="G8" s="27">
        <v>3500</v>
      </c>
      <c r="H8" s="27">
        <v>3500</v>
      </c>
      <c r="I8" s="27">
        <v>3500</v>
      </c>
      <c r="J8" s="27">
        <v>3500</v>
      </c>
      <c r="K8" s="27">
        <v>3500</v>
      </c>
      <c r="L8" s="27">
        <v>3500</v>
      </c>
      <c r="M8" s="27">
        <v>3500</v>
      </c>
      <c r="N8" s="27">
        <v>3500</v>
      </c>
      <c r="O8" s="27">
        <v>3500</v>
      </c>
      <c r="P8" s="27">
        <v>3500</v>
      </c>
      <c r="Q8" s="29">
        <f t="shared" ref="Q8:Q10" si="1">SUM(E8:P8)</f>
        <v>42000</v>
      </c>
      <c r="R8" s="25"/>
    </row>
    <row r="9" spans="1:36" ht="12.75" customHeight="1">
      <c r="A9" s="14"/>
      <c r="B9" s="9"/>
      <c r="C9" s="26" t="s">
        <v>22</v>
      </c>
      <c r="D9" s="17"/>
      <c r="E9" s="27"/>
      <c r="F9" s="28"/>
      <c r="G9" s="29"/>
      <c r="H9" s="29"/>
      <c r="I9" s="29"/>
      <c r="J9" s="29"/>
      <c r="K9" s="29"/>
      <c r="L9" s="29"/>
      <c r="M9" s="29"/>
      <c r="N9" s="29"/>
      <c r="O9" s="29">
        <v>2000</v>
      </c>
      <c r="P9" s="29">
        <v>1500</v>
      </c>
      <c r="Q9" s="29">
        <f t="shared" si="1"/>
        <v>3500</v>
      </c>
      <c r="R9" s="25"/>
    </row>
    <row r="10" spans="1:36" ht="12.75" customHeight="1">
      <c r="A10" s="14"/>
      <c r="B10" s="9"/>
      <c r="C10" s="26" t="s">
        <v>23</v>
      </c>
      <c r="D10" s="17"/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>
        <f t="shared" si="1"/>
        <v>0</v>
      </c>
      <c r="R10" s="25"/>
    </row>
    <row r="11" spans="1:36" ht="12.75" customHeight="1">
      <c r="A11" s="14" t="s">
        <v>24</v>
      </c>
      <c r="B11" s="15" t="s">
        <v>17</v>
      </c>
      <c r="C11" s="16" t="s">
        <v>25</v>
      </c>
      <c r="D11" s="17"/>
      <c r="E11" s="30">
        <f t="shared" ref="E11:Q11" si="2">SUM(E8:E10)</f>
        <v>3500</v>
      </c>
      <c r="F11" s="30">
        <f t="shared" si="2"/>
        <v>3500</v>
      </c>
      <c r="G11" s="23">
        <f t="shared" si="2"/>
        <v>3500</v>
      </c>
      <c r="H11" s="23">
        <f t="shared" si="2"/>
        <v>3500</v>
      </c>
      <c r="I11" s="23">
        <f t="shared" si="2"/>
        <v>3500</v>
      </c>
      <c r="J11" s="23">
        <f t="shared" si="2"/>
        <v>3500</v>
      </c>
      <c r="K11" s="23">
        <f t="shared" si="2"/>
        <v>3500</v>
      </c>
      <c r="L11" s="23">
        <f t="shared" si="2"/>
        <v>3500</v>
      </c>
      <c r="M11" s="23">
        <f t="shared" si="2"/>
        <v>3500</v>
      </c>
      <c r="N11" s="23">
        <f t="shared" si="2"/>
        <v>3500</v>
      </c>
      <c r="O11" s="23">
        <f t="shared" si="2"/>
        <v>5500</v>
      </c>
      <c r="P11" s="23">
        <f t="shared" si="2"/>
        <v>5000</v>
      </c>
      <c r="Q11" s="23">
        <f t="shared" si="2"/>
        <v>45500</v>
      </c>
      <c r="R11" s="25"/>
    </row>
    <row r="12" spans="1:36" ht="12.75" customHeight="1">
      <c r="A12" s="31"/>
      <c r="B12" s="9"/>
      <c r="C12" s="26" t="s">
        <v>26</v>
      </c>
      <c r="D12" s="17"/>
      <c r="E12" s="27">
        <v>600</v>
      </c>
      <c r="F12" s="27">
        <v>600</v>
      </c>
      <c r="G12" s="27">
        <v>600</v>
      </c>
      <c r="H12" s="27">
        <v>600</v>
      </c>
      <c r="I12" s="27">
        <v>600</v>
      </c>
      <c r="J12" s="27">
        <v>600</v>
      </c>
      <c r="K12" s="27">
        <v>600</v>
      </c>
      <c r="L12" s="27">
        <v>600</v>
      </c>
      <c r="M12" s="27">
        <v>600</v>
      </c>
      <c r="N12" s="27">
        <v>600</v>
      </c>
      <c r="O12" s="27">
        <v>600</v>
      </c>
      <c r="P12" s="27">
        <v>600</v>
      </c>
      <c r="Q12" s="29">
        <f t="shared" ref="Q12:Q32" si="3">SUM(E12:P12)</f>
        <v>7200</v>
      </c>
      <c r="R12" s="25"/>
    </row>
    <row r="13" spans="1:36" ht="12.75" customHeight="1">
      <c r="A13" s="31"/>
      <c r="B13" s="9"/>
      <c r="C13" s="26" t="s">
        <v>27</v>
      </c>
      <c r="D13" s="17"/>
      <c r="E13" s="27">
        <v>200</v>
      </c>
      <c r="F13" s="27">
        <v>200</v>
      </c>
      <c r="G13" s="27">
        <v>200</v>
      </c>
      <c r="H13" s="27">
        <v>200</v>
      </c>
      <c r="I13" s="27">
        <v>200</v>
      </c>
      <c r="J13" s="27">
        <v>200</v>
      </c>
      <c r="K13" s="27">
        <v>200</v>
      </c>
      <c r="L13" s="27">
        <v>200</v>
      </c>
      <c r="M13" s="27">
        <v>200</v>
      </c>
      <c r="N13" s="27">
        <v>200</v>
      </c>
      <c r="O13" s="27">
        <v>200</v>
      </c>
      <c r="P13" s="27">
        <v>200</v>
      </c>
      <c r="Q13" s="29">
        <f t="shared" si="3"/>
        <v>2400</v>
      </c>
      <c r="R13" s="25"/>
    </row>
    <row r="14" spans="1:36" ht="12.75" customHeight="1">
      <c r="A14" s="31"/>
      <c r="B14" s="9"/>
      <c r="C14" s="26" t="s">
        <v>28</v>
      </c>
      <c r="D14" s="17"/>
      <c r="E14" s="27">
        <v>200</v>
      </c>
      <c r="F14" s="27">
        <v>200</v>
      </c>
      <c r="G14" s="27">
        <v>200</v>
      </c>
      <c r="H14" s="27">
        <v>200</v>
      </c>
      <c r="I14" s="27">
        <v>200</v>
      </c>
      <c r="J14" s="27">
        <v>200</v>
      </c>
      <c r="K14" s="27">
        <v>200</v>
      </c>
      <c r="L14" s="27">
        <v>200</v>
      </c>
      <c r="M14" s="27">
        <v>200</v>
      </c>
      <c r="N14" s="27">
        <v>200</v>
      </c>
      <c r="O14" s="27">
        <v>200</v>
      </c>
      <c r="P14" s="27">
        <v>200</v>
      </c>
      <c r="Q14" s="29">
        <f t="shared" si="3"/>
        <v>2400</v>
      </c>
      <c r="R14" s="25"/>
    </row>
    <row r="15" spans="1:36" ht="12.75" customHeight="1">
      <c r="A15" s="31"/>
      <c r="B15" s="9"/>
      <c r="C15" s="26" t="s">
        <v>29</v>
      </c>
      <c r="D15" s="17"/>
      <c r="E15" s="27"/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>
        <f t="shared" si="3"/>
        <v>0</v>
      </c>
      <c r="R15" s="25"/>
    </row>
    <row r="16" spans="1:36" ht="12.75" customHeight="1">
      <c r="A16" s="31"/>
      <c r="B16" s="9"/>
      <c r="C16" s="26" t="s">
        <v>30</v>
      </c>
      <c r="D16" s="17"/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>
        <f t="shared" si="3"/>
        <v>0</v>
      </c>
      <c r="R16" s="25"/>
      <c r="T16" s="32"/>
    </row>
    <row r="17" spans="1:36" ht="12.75" customHeight="1">
      <c r="A17" s="31"/>
      <c r="B17" s="9"/>
      <c r="C17" s="26" t="s">
        <v>31</v>
      </c>
      <c r="D17" s="17"/>
      <c r="E17" s="27"/>
      <c r="F17" s="2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>
        <f t="shared" si="3"/>
        <v>0</v>
      </c>
      <c r="R17" s="25"/>
    </row>
    <row r="18" spans="1:36" ht="12.75" customHeight="1">
      <c r="A18" s="31"/>
      <c r="B18" s="9"/>
      <c r="C18" s="26" t="s">
        <v>32</v>
      </c>
      <c r="D18" s="17"/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>
        <f t="shared" si="3"/>
        <v>0</v>
      </c>
      <c r="R18" s="25"/>
      <c r="T18" s="67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</row>
    <row r="19" spans="1:36" ht="12.75" customHeight="1">
      <c r="A19" s="31"/>
      <c r="B19" s="9"/>
      <c r="C19" s="26" t="s">
        <v>33</v>
      </c>
      <c r="D19" s="17"/>
      <c r="E19" s="27"/>
      <c r="F19" s="28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>
        <f t="shared" si="3"/>
        <v>0</v>
      </c>
      <c r="R19" s="25"/>
    </row>
    <row r="20" spans="1:36" ht="12.75" customHeight="1">
      <c r="A20" s="31"/>
      <c r="B20" s="9"/>
      <c r="C20" s="26" t="s">
        <v>34</v>
      </c>
      <c r="D20" s="17"/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>
        <f t="shared" si="3"/>
        <v>0</v>
      </c>
      <c r="R20" s="25"/>
    </row>
    <row r="21" spans="1:36" ht="12.75" customHeight="1">
      <c r="A21" s="31"/>
      <c r="B21" s="9"/>
      <c r="C21" s="26" t="s">
        <v>35</v>
      </c>
      <c r="D21" s="17"/>
      <c r="E21" s="27"/>
      <c r="F21" s="28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>
        <f t="shared" si="3"/>
        <v>0</v>
      </c>
      <c r="R21" s="25"/>
    </row>
    <row r="22" spans="1:36" ht="12.75" customHeight="1">
      <c r="A22" s="31"/>
      <c r="B22" s="9"/>
      <c r="C22" s="26" t="s">
        <v>36</v>
      </c>
      <c r="D22" s="17"/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>
        <f t="shared" si="3"/>
        <v>0</v>
      </c>
      <c r="R22" s="25"/>
    </row>
    <row r="23" spans="1:36" ht="12.75" customHeight="1">
      <c r="A23" s="31"/>
      <c r="B23" s="9"/>
      <c r="C23" s="26" t="s">
        <v>37</v>
      </c>
      <c r="D23" s="17"/>
      <c r="E23" s="27"/>
      <c r="F23" s="28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>
        <f t="shared" si="3"/>
        <v>0</v>
      </c>
      <c r="R23" s="25"/>
    </row>
    <row r="24" spans="1:36" ht="12.75" customHeight="1">
      <c r="A24" s="31"/>
      <c r="B24" s="9"/>
      <c r="C24" s="26" t="s">
        <v>38</v>
      </c>
      <c r="D24" s="17"/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>
        <f t="shared" si="3"/>
        <v>0</v>
      </c>
      <c r="R24" s="25"/>
    </row>
    <row r="25" spans="1:36" ht="12.75" customHeight="1">
      <c r="A25" s="31"/>
      <c r="B25" s="9"/>
      <c r="C25" s="26" t="s">
        <v>39</v>
      </c>
      <c r="D25" s="17"/>
      <c r="E25" s="27"/>
      <c r="F25" s="28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>
        <f t="shared" si="3"/>
        <v>0</v>
      </c>
      <c r="R25" s="25"/>
    </row>
    <row r="26" spans="1:36" ht="12.75" customHeight="1">
      <c r="A26" s="31"/>
      <c r="B26" s="9"/>
      <c r="C26" s="26" t="s">
        <v>40</v>
      </c>
      <c r="D26" s="17"/>
      <c r="E26" s="27"/>
      <c r="F26" s="28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>
        <f t="shared" si="3"/>
        <v>0</v>
      </c>
      <c r="R26" s="25"/>
    </row>
    <row r="27" spans="1:36" ht="12.75" customHeight="1">
      <c r="A27" s="31"/>
      <c r="B27" s="9"/>
      <c r="C27" s="26" t="s">
        <v>41</v>
      </c>
      <c r="D27" s="17"/>
      <c r="E27" s="27"/>
      <c r="F27" s="28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>
        <f t="shared" si="3"/>
        <v>0</v>
      </c>
      <c r="R27" s="25"/>
    </row>
    <row r="28" spans="1:36" ht="12.75" customHeight="1">
      <c r="A28" s="31"/>
      <c r="B28" s="9"/>
      <c r="C28" s="26" t="s">
        <v>42</v>
      </c>
      <c r="D28" s="17"/>
      <c r="E28" s="27"/>
      <c r="F28" s="28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>
        <f t="shared" si="3"/>
        <v>0</v>
      </c>
      <c r="R28" s="25"/>
    </row>
    <row r="29" spans="1:36" ht="12.75" customHeight="1">
      <c r="A29" s="31"/>
      <c r="B29" s="9"/>
      <c r="C29" s="26" t="s">
        <v>43</v>
      </c>
      <c r="D29" s="17"/>
      <c r="E29" s="27"/>
      <c r="F29" s="28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>
        <f t="shared" si="3"/>
        <v>0</v>
      </c>
      <c r="R29" s="25"/>
    </row>
    <row r="30" spans="1:36" ht="12.75" customHeight="1">
      <c r="A30" s="31"/>
      <c r="B30" s="9"/>
      <c r="C30" s="26" t="s">
        <v>44</v>
      </c>
      <c r="D30" s="17"/>
      <c r="E30" s="27"/>
      <c r="F30" s="28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>
        <f t="shared" si="3"/>
        <v>0</v>
      </c>
      <c r="R30" s="25"/>
    </row>
    <row r="31" spans="1:36" ht="12.75" customHeight="1">
      <c r="A31" s="31"/>
      <c r="B31" s="9"/>
      <c r="C31" s="26" t="s">
        <v>45</v>
      </c>
      <c r="D31" s="17"/>
      <c r="E31" s="27"/>
      <c r="F31" s="28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>
        <f t="shared" si="3"/>
        <v>0</v>
      </c>
      <c r="R31" s="25"/>
    </row>
    <row r="32" spans="1:36" ht="12.75" customHeight="1">
      <c r="A32" s="31"/>
      <c r="B32" s="9"/>
      <c r="C32" s="26" t="s">
        <v>46</v>
      </c>
      <c r="D32" s="17"/>
      <c r="E32" s="27"/>
      <c r="F32" s="28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>
        <f t="shared" si="3"/>
        <v>0</v>
      </c>
      <c r="R32" s="25"/>
    </row>
    <row r="33" spans="1:19" ht="12.75" customHeight="1">
      <c r="A33" s="33" t="s">
        <v>47</v>
      </c>
      <c r="B33" s="15" t="s">
        <v>17</v>
      </c>
      <c r="C33" s="21" t="s">
        <v>48</v>
      </c>
      <c r="D33" s="17"/>
      <c r="E33" s="34">
        <f t="shared" ref="E33:Q33" si="4">SUM(E12:E32)</f>
        <v>1000</v>
      </c>
      <c r="F33" s="35">
        <f t="shared" si="4"/>
        <v>1000</v>
      </c>
      <c r="G33" s="24">
        <f t="shared" si="4"/>
        <v>1000</v>
      </c>
      <c r="H33" s="24">
        <f t="shared" si="4"/>
        <v>1000</v>
      </c>
      <c r="I33" s="24">
        <f t="shared" si="4"/>
        <v>1000</v>
      </c>
      <c r="J33" s="24">
        <f t="shared" si="4"/>
        <v>1000</v>
      </c>
      <c r="K33" s="24">
        <f t="shared" si="4"/>
        <v>1000</v>
      </c>
      <c r="L33" s="24">
        <f t="shared" si="4"/>
        <v>1000</v>
      </c>
      <c r="M33" s="24">
        <f t="shared" si="4"/>
        <v>1000</v>
      </c>
      <c r="N33" s="24">
        <f t="shared" si="4"/>
        <v>1000</v>
      </c>
      <c r="O33" s="24">
        <f t="shared" si="4"/>
        <v>1000</v>
      </c>
      <c r="P33" s="24">
        <f t="shared" si="4"/>
        <v>1000</v>
      </c>
      <c r="Q33" s="24">
        <f t="shared" si="4"/>
        <v>12000</v>
      </c>
      <c r="R33" s="25"/>
    </row>
    <row r="34" spans="1:19" ht="12.75" customHeight="1">
      <c r="A34" s="33" t="s">
        <v>49</v>
      </c>
      <c r="B34" s="15" t="s">
        <v>17</v>
      </c>
      <c r="C34" s="16" t="s">
        <v>50</v>
      </c>
      <c r="D34" s="17"/>
      <c r="E34" s="36">
        <f t="shared" ref="E34:P34" si="5">E6+E7+E11-E33</f>
        <v>2500</v>
      </c>
      <c r="F34" s="30">
        <f t="shared" si="5"/>
        <v>5000</v>
      </c>
      <c r="G34" s="23">
        <f t="shared" si="5"/>
        <v>7500</v>
      </c>
      <c r="H34" s="23">
        <f t="shared" si="5"/>
        <v>10000</v>
      </c>
      <c r="I34" s="23">
        <f t="shared" si="5"/>
        <v>12500</v>
      </c>
      <c r="J34" s="23">
        <f t="shared" si="5"/>
        <v>15000</v>
      </c>
      <c r="K34" s="23">
        <f t="shared" si="5"/>
        <v>17500</v>
      </c>
      <c r="L34" s="23">
        <f t="shared" si="5"/>
        <v>20000</v>
      </c>
      <c r="M34" s="23">
        <f t="shared" si="5"/>
        <v>22500</v>
      </c>
      <c r="N34" s="23">
        <f t="shared" si="5"/>
        <v>25000</v>
      </c>
      <c r="O34" s="23">
        <f t="shared" si="5"/>
        <v>29500</v>
      </c>
      <c r="P34" s="23">
        <f t="shared" si="5"/>
        <v>33500</v>
      </c>
      <c r="Q34" s="23">
        <f>Q11-Q33</f>
        <v>33500</v>
      </c>
      <c r="R34" s="25"/>
    </row>
    <row r="35" spans="1:19" ht="12.75" customHeight="1">
      <c r="A35" s="33" t="s">
        <v>51</v>
      </c>
      <c r="B35" s="9"/>
      <c r="C35" s="37" t="s">
        <v>52</v>
      </c>
      <c r="D35" s="17"/>
      <c r="E35" s="38"/>
      <c r="F35" s="28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>
        <f>SUM(E35:P35)</f>
        <v>0</v>
      </c>
      <c r="R35" s="25"/>
    </row>
    <row r="36" spans="1:19" ht="12.75" customHeight="1">
      <c r="A36" s="33" t="s">
        <v>53</v>
      </c>
      <c r="B36" s="15" t="s">
        <v>17</v>
      </c>
      <c r="C36" s="16" t="s">
        <v>54</v>
      </c>
      <c r="D36" s="17"/>
      <c r="E36" s="36">
        <f t="shared" ref="E36:Q36" si="6">E34-E35</f>
        <v>2500</v>
      </c>
      <c r="F36" s="30">
        <f t="shared" si="6"/>
        <v>5000</v>
      </c>
      <c r="G36" s="23">
        <f t="shared" si="6"/>
        <v>7500</v>
      </c>
      <c r="H36" s="23">
        <f t="shared" si="6"/>
        <v>10000</v>
      </c>
      <c r="I36" s="23">
        <f t="shared" si="6"/>
        <v>12500</v>
      </c>
      <c r="J36" s="23">
        <f t="shared" si="6"/>
        <v>15000</v>
      </c>
      <c r="K36" s="23">
        <f t="shared" si="6"/>
        <v>17500</v>
      </c>
      <c r="L36" s="23">
        <f t="shared" si="6"/>
        <v>20000</v>
      </c>
      <c r="M36" s="23">
        <f t="shared" si="6"/>
        <v>22500</v>
      </c>
      <c r="N36" s="23">
        <f t="shared" si="6"/>
        <v>25000</v>
      </c>
      <c r="O36" s="23">
        <f t="shared" si="6"/>
        <v>29500</v>
      </c>
      <c r="P36" s="23">
        <f t="shared" si="6"/>
        <v>33500</v>
      </c>
      <c r="Q36" s="23">
        <f t="shared" si="6"/>
        <v>33500</v>
      </c>
      <c r="R36" s="25"/>
    </row>
    <row r="37" spans="1:19" ht="3.75" customHeight="1">
      <c r="A37" s="14"/>
      <c r="B37" s="39"/>
      <c r="C37" s="40"/>
      <c r="D37" s="41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3"/>
    </row>
    <row r="38" spans="1:19" ht="5.25" customHeight="1">
      <c r="A38" s="14"/>
      <c r="B38" s="44"/>
      <c r="C38" s="45"/>
      <c r="D38" s="46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6"/>
      <c r="S38" s="46"/>
    </row>
    <row r="39" spans="1:19" ht="5.25" customHeight="1">
      <c r="A39" s="14"/>
      <c r="B39" s="48"/>
      <c r="C39" s="49"/>
      <c r="D39" s="7"/>
      <c r="E39" s="50"/>
      <c r="F39" s="50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8"/>
      <c r="S39" s="46"/>
    </row>
    <row r="40" spans="1:19" ht="12.75" customHeight="1">
      <c r="A40" s="31"/>
      <c r="B40" s="15"/>
      <c r="C40" s="16" t="s">
        <v>55</v>
      </c>
      <c r="D40" s="17"/>
      <c r="E40" s="52">
        <f t="shared" ref="E40:Q40" si="7">IF(E36&gt;0,0,-E36)</f>
        <v>0</v>
      </c>
      <c r="F40" s="53">
        <f t="shared" si="7"/>
        <v>0</v>
      </c>
      <c r="G40" s="53">
        <f t="shared" si="7"/>
        <v>0</v>
      </c>
      <c r="H40" s="53">
        <f t="shared" si="7"/>
        <v>0</v>
      </c>
      <c r="I40" s="53">
        <f t="shared" si="7"/>
        <v>0</v>
      </c>
      <c r="J40" s="53">
        <f t="shared" si="7"/>
        <v>0</v>
      </c>
      <c r="K40" s="53">
        <f t="shared" si="7"/>
        <v>0</v>
      </c>
      <c r="L40" s="53">
        <f t="shared" si="7"/>
        <v>0</v>
      </c>
      <c r="M40" s="53">
        <f t="shared" si="7"/>
        <v>0</v>
      </c>
      <c r="N40" s="53">
        <f t="shared" si="7"/>
        <v>0</v>
      </c>
      <c r="O40" s="53">
        <f t="shared" si="7"/>
        <v>0</v>
      </c>
      <c r="P40" s="53">
        <f t="shared" si="7"/>
        <v>0</v>
      </c>
      <c r="Q40" s="54">
        <f t="shared" si="7"/>
        <v>0</v>
      </c>
      <c r="R40" s="25"/>
    </row>
    <row r="41" spans="1:19" ht="12.75" customHeight="1">
      <c r="A41" s="31"/>
      <c r="B41" s="15"/>
      <c r="C41" s="16" t="s">
        <v>56</v>
      </c>
      <c r="D41" s="17"/>
      <c r="E41" s="55">
        <f t="shared" ref="E41:Q41" si="8">IF(E36&lt;0,0,E36)</f>
        <v>2500</v>
      </c>
      <c r="F41" s="56">
        <f t="shared" si="8"/>
        <v>5000</v>
      </c>
      <c r="G41" s="56">
        <f t="shared" si="8"/>
        <v>7500</v>
      </c>
      <c r="H41" s="56">
        <f t="shared" si="8"/>
        <v>10000</v>
      </c>
      <c r="I41" s="56">
        <f t="shared" si="8"/>
        <v>12500</v>
      </c>
      <c r="J41" s="56">
        <f t="shared" si="8"/>
        <v>15000</v>
      </c>
      <c r="K41" s="56">
        <f t="shared" si="8"/>
        <v>17500</v>
      </c>
      <c r="L41" s="56">
        <f t="shared" si="8"/>
        <v>20000</v>
      </c>
      <c r="M41" s="56">
        <f t="shared" si="8"/>
        <v>22500</v>
      </c>
      <c r="N41" s="56">
        <f t="shared" si="8"/>
        <v>25000</v>
      </c>
      <c r="O41" s="56">
        <f t="shared" si="8"/>
        <v>29500</v>
      </c>
      <c r="P41" s="56">
        <f t="shared" si="8"/>
        <v>33500</v>
      </c>
      <c r="Q41" s="57">
        <f t="shared" si="8"/>
        <v>33500</v>
      </c>
      <c r="R41" s="25"/>
    </row>
    <row r="42" spans="1:19" ht="4.5" customHeight="1">
      <c r="A42" s="31"/>
      <c r="B42" s="58"/>
      <c r="C42" s="59"/>
      <c r="D42" s="59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43"/>
    </row>
    <row r="43" spans="1:19" ht="5.25" customHeight="1">
      <c r="A43" s="46"/>
    </row>
    <row r="44" spans="1:19" ht="12.75" customHeight="1">
      <c r="A44" s="46"/>
      <c r="B44" s="61" t="s">
        <v>57</v>
      </c>
      <c r="C44" s="61" t="s">
        <v>58</v>
      </c>
      <c r="D44" s="62"/>
      <c r="E44" s="62"/>
      <c r="F44" s="62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</row>
    <row r="45" spans="1:19" ht="12.75" customHeight="1">
      <c r="B45" s="61" t="s">
        <v>59</v>
      </c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</row>
    <row r="46" spans="1:19" ht="12.75" customHeight="1">
      <c r="B46" s="61" t="s">
        <v>60</v>
      </c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</row>
    <row r="47" spans="1:19" ht="12.75" customHeight="1"/>
    <row r="48" spans="1:19" ht="12.75" customHeight="1"/>
    <row r="49" spans="2:2" ht="12.75" customHeight="1"/>
    <row r="50" spans="2:2" ht="12.75" customHeight="1"/>
    <row r="51" spans="2:2" ht="12.75" customHeight="1"/>
    <row r="52" spans="2:2" ht="12.75" customHeight="1"/>
    <row r="53" spans="2:2" ht="12.75" customHeight="1"/>
    <row r="54" spans="2:2" ht="12.75" customHeight="1"/>
    <row r="55" spans="2:2" ht="12.75" customHeight="1"/>
    <row r="56" spans="2:2" ht="12.75" customHeight="1"/>
    <row r="57" spans="2:2" ht="12.75" customHeight="1"/>
    <row r="58" spans="2:2" ht="12.75" customHeight="1">
      <c r="B58" s="63"/>
    </row>
    <row r="59" spans="2:2" ht="12.75" customHeight="1"/>
    <row r="60" spans="2:2" ht="12.75" customHeight="1"/>
    <row r="61" spans="2:2" ht="12.75" customHeight="1"/>
    <row r="62" spans="2:2" ht="12.75" customHeight="1"/>
    <row r="63" spans="2:2" ht="12.75" customHeight="1"/>
    <row r="64" spans="2:2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B3:R3"/>
    <mergeCell ref="T18:AJ18"/>
    <mergeCell ref="H2:O2"/>
    <mergeCell ref="A1:A5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Fluxo de Caixa Pessoal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Dev_Edson</cp:lastModifiedBy>
  <dcterms:modified xsi:type="dcterms:W3CDTF">2026-01-03T16:34:21Z</dcterms:modified>
</cp:coreProperties>
</file>